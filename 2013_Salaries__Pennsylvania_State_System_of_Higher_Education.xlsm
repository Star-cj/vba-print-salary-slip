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BVA-excel\"/>
    </mc:Choice>
  </mc:AlternateContent>
  <xr:revisionPtr revIDLastSave="0" documentId="13_ncr:1_{18986F63-8052-4649-83C5-E494D4D0DD54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Payroll Data" sheetId="1" r:id="rId1"/>
    <sheet name="Payslip" sheetId="2" r:id="rId2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/>
  <c r="E13" i="2"/>
  <c r="D13" i="2" s="1"/>
  <c r="E12" i="2"/>
  <c r="E11" i="2"/>
  <c r="C14" i="2"/>
  <c r="C13" i="2"/>
  <c r="C12" i="2"/>
  <c r="C11" i="2"/>
  <c r="E8" i="2"/>
  <c r="C8" i="2"/>
  <c r="E7" i="2"/>
  <c r="L8" i="1"/>
  <c r="L7" i="1"/>
  <c r="L3" i="1"/>
  <c r="J14" i="1"/>
  <c r="J9" i="1"/>
  <c r="M6" i="2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I3" i="1"/>
  <c r="G2" i="1"/>
  <c r="H2" i="1" s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I10" i="1" s="1"/>
  <c r="G11" i="1"/>
  <c r="H11" i="1" s="1"/>
  <c r="G12" i="1"/>
  <c r="H12" i="1" s="1"/>
  <c r="G13" i="1"/>
  <c r="H13" i="1" s="1"/>
  <c r="G14" i="1"/>
  <c r="I14" i="1" s="1"/>
  <c r="G15" i="1"/>
  <c r="I15" i="1" s="1"/>
  <c r="G16" i="1"/>
  <c r="H16" i="1" s="1"/>
  <c r="G17" i="1"/>
  <c r="H17" i="1" s="1"/>
  <c r="G18" i="1"/>
  <c r="I18" i="1" s="1"/>
  <c r="G19" i="1"/>
  <c r="H19" i="1" s="1"/>
  <c r="G20" i="1"/>
  <c r="H20" i="1" s="1"/>
  <c r="G21" i="1"/>
  <c r="H21" i="1" s="1"/>
  <c r="G22" i="1"/>
  <c r="I22" i="1" s="1"/>
  <c r="G23" i="1"/>
  <c r="I23" i="1" s="1"/>
  <c r="G24" i="1"/>
  <c r="H24" i="1" s="1"/>
  <c r="G25" i="1"/>
  <c r="H25" i="1" s="1"/>
  <c r="G26" i="1"/>
  <c r="I26" i="1" s="1"/>
  <c r="G27" i="1"/>
  <c r="H27" i="1" s="1"/>
  <c r="G28" i="1"/>
  <c r="H28" i="1" s="1"/>
  <c r="G29" i="1"/>
  <c r="H29" i="1" s="1"/>
  <c r="G30" i="1"/>
  <c r="I30" i="1" s="1"/>
  <c r="G31" i="1"/>
  <c r="I31" i="1" s="1"/>
  <c r="G32" i="1"/>
  <c r="H32" i="1" s="1"/>
  <c r="G33" i="1"/>
  <c r="I33" i="1" s="1"/>
  <c r="G34" i="1"/>
  <c r="I34" i="1" s="1"/>
  <c r="G35" i="1"/>
  <c r="I35" i="1" s="1"/>
  <c r="G36" i="1"/>
  <c r="H36" i="1" s="1"/>
  <c r="G37" i="1"/>
  <c r="H37" i="1" s="1"/>
  <c r="G38" i="1"/>
  <c r="H38" i="1" s="1"/>
  <c r="G39" i="1"/>
  <c r="H39" i="1" s="1"/>
  <c r="G40" i="1"/>
  <c r="H40" i="1" s="1"/>
  <c r="E15" i="2" l="1"/>
  <c r="C15" i="2"/>
  <c r="H35" i="1"/>
  <c r="H23" i="1"/>
  <c r="I28" i="1"/>
  <c r="I19" i="1"/>
  <c r="H34" i="1"/>
  <c r="I27" i="1"/>
  <c r="H33" i="1"/>
  <c r="I20" i="1"/>
  <c r="H22" i="1"/>
  <c r="I12" i="1"/>
  <c r="H10" i="1"/>
  <c r="I11" i="1"/>
  <c r="I36" i="1"/>
  <c r="I4" i="1"/>
  <c r="H31" i="1"/>
  <c r="H18" i="1"/>
  <c r="I25" i="1"/>
  <c r="I17" i="1"/>
  <c r="I9" i="1"/>
  <c r="H30" i="1"/>
  <c r="I40" i="1"/>
  <c r="I32" i="1"/>
  <c r="I24" i="1"/>
  <c r="I16" i="1"/>
  <c r="I8" i="1"/>
  <c r="H15" i="1"/>
  <c r="I39" i="1"/>
  <c r="I7" i="1"/>
  <c r="H26" i="1"/>
  <c r="H14" i="1"/>
  <c r="I38" i="1"/>
  <c r="I6" i="1"/>
  <c r="I37" i="1"/>
  <c r="I29" i="1"/>
  <c r="I21" i="1"/>
  <c r="I13" i="1"/>
  <c r="I5" i="1"/>
  <c r="I2" i="1"/>
  <c r="C17" i="2" l="1"/>
  <c r="C18" i="2" a="1"/>
  <c r="C1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<sst xmlns="http://schemas.openxmlformats.org/spreadsheetml/2006/main" count="186" uniqueCount="110">
  <si>
    <t>index</t>
  </si>
  <si>
    <t>Name</t>
  </si>
  <si>
    <t>Base Pay</t>
  </si>
  <si>
    <t>University or Office</t>
  </si>
  <si>
    <t>Position</t>
  </si>
  <si>
    <t>Driscoll, Michael Allan</t>
  </si>
  <si>
    <t>Indiana</t>
  </si>
  <si>
    <t>University President</t>
  </si>
  <si>
    <t>Weisenstein, Greg R</t>
  </si>
  <si>
    <t>West Chester</t>
  </si>
  <si>
    <t>Welsh, Marcia L</t>
  </si>
  <si>
    <t>East Stroudsburg</t>
  </si>
  <si>
    <t>Norton, Cheryl J.</t>
  </si>
  <si>
    <t>Slippery Rock</t>
  </si>
  <si>
    <t>Wollman, Julie E.</t>
  </si>
  <si>
    <t>Edinboro</t>
  </si>
  <si>
    <t>Mcnairy, Francine G</t>
  </si>
  <si>
    <t>Millersville</t>
  </si>
  <si>
    <t>Fiorentino, Michael Jr</t>
  </si>
  <si>
    <t>Lock Haven</t>
  </si>
  <si>
    <t>Whitney, Karen M.</t>
  </si>
  <si>
    <t>Clarion</t>
  </si>
  <si>
    <t>Cevallos, Francisco Javier</t>
  </si>
  <si>
    <t>Kutztown</t>
  </si>
  <si>
    <t>Vargas-Aburto, Carlos</t>
  </si>
  <si>
    <t>Provost &amp; VP Academic Affairs</t>
  </si>
  <si>
    <t>Soltz, David L</t>
  </si>
  <si>
    <t>Bloomsburg</t>
  </si>
  <si>
    <t>Ruud, William N.</t>
  </si>
  <si>
    <t>Shippensburg</t>
  </si>
  <si>
    <t>Nowaczyk, Ronald</t>
  </si>
  <si>
    <t>Provost &amp; VP for Academic Affairs</t>
  </si>
  <si>
    <t>Howard-Vital, Michelle R</t>
  </si>
  <si>
    <t>Cheyney</t>
  </si>
  <si>
    <t>Jones, Geraldine M</t>
  </si>
  <si>
    <t>California</t>
  </si>
  <si>
    <t>Acting University President</t>
  </si>
  <si>
    <t>Prabhu, Vilas A</t>
  </si>
  <si>
    <t>Provost &amp; Vice Pres for Academic Affairs</t>
  </si>
  <si>
    <t>Garland, Peter H</t>
  </si>
  <si>
    <t>Office of the Chancellor</t>
  </si>
  <si>
    <t>Executive Vice Chancellor</t>
  </si>
  <si>
    <t>Golden, Allan</t>
  </si>
  <si>
    <t>Mansfield</t>
  </si>
  <si>
    <t>Interim University President</t>
  </si>
  <si>
    <t>Williams, William F</t>
  </si>
  <si>
    <t>Provost &amp; Vice President Academic Affair</t>
  </si>
  <si>
    <t>Intemann, Gerald W</t>
  </si>
  <si>
    <t>Bruszewski, Roger V</t>
  </si>
  <si>
    <t>Vice Pres for Finance &amp; Admn</t>
  </si>
  <si>
    <t>Eckert, Gerald C</t>
  </si>
  <si>
    <t>Vice Pres for University Adv</t>
  </si>
  <si>
    <t>Dillon, James S</t>
  </si>
  <si>
    <t>VC-Administration and Finance</t>
  </si>
  <si>
    <t>Dent, Gary Kever</t>
  </si>
  <si>
    <t>Vice Chancellor for HR &amp; LR</t>
  </si>
  <si>
    <t>Tripp, Harry E</t>
  </si>
  <si>
    <t>VP of Student &amp; Univ Affairs</t>
  </si>
  <si>
    <t>Blake, Ira K</t>
  </si>
  <si>
    <t>Provost/VP Academic Affairs</t>
  </si>
  <si>
    <t>Wooten, Cornelius</t>
  </si>
  <si>
    <t>VP Admin &amp; Finance</t>
  </si>
  <si>
    <t>Staneski, Richard</t>
  </si>
  <si>
    <t>VP Finance &amp; Administration</t>
  </si>
  <si>
    <t>Fiorentino, Christopher M</t>
  </si>
  <si>
    <t>Dean-Bus &amp; Pub Affairs</t>
  </si>
  <si>
    <t>Ball, Karen S</t>
  </si>
  <si>
    <t>Vice Chancellor for External Relations</t>
  </si>
  <si>
    <t>Lyman, Barbara G</t>
  </si>
  <si>
    <t>Provost &amp; VP Acad Affairs</t>
  </si>
  <si>
    <t>Lamwers, Linda</t>
  </si>
  <si>
    <t>Provost</t>
  </si>
  <si>
    <t>Silberman, Gerald L</t>
  </si>
  <si>
    <t>Reidhead, Van A.</t>
  </si>
  <si>
    <t>Curry, Charles T</t>
  </si>
  <si>
    <t>Vice President - Finance &amp; Admin Affairs</t>
  </si>
  <si>
    <t>Ebbs, George H Jr</t>
  </si>
  <si>
    <t>Dean College of Business</t>
  </si>
  <si>
    <t>Camp, Robert C</t>
  </si>
  <si>
    <t>Dean Eberly Clg of Business</t>
  </si>
  <si>
    <t>Wilson, Donna F</t>
  </si>
  <si>
    <t>Provost and Sr VP for Academic Affairs</t>
  </si>
  <si>
    <t>Snavely, Deanne Lynn</t>
  </si>
  <si>
    <t>Dean Natural Sciences &amp; Math</t>
  </si>
  <si>
    <t>Overtime</t>
  </si>
  <si>
    <t>Tax</t>
  </si>
  <si>
    <t>Loan</t>
  </si>
  <si>
    <t>Housing</t>
  </si>
  <si>
    <t>Food Allowance</t>
  </si>
  <si>
    <t>COMPANY NAME</t>
  </si>
  <si>
    <t>COMPANY address for services</t>
  </si>
  <si>
    <t>Salary slip</t>
  </si>
  <si>
    <t>Employee Name:</t>
  </si>
  <si>
    <t>Employee ID:</t>
  </si>
  <si>
    <t>Employee Office</t>
  </si>
  <si>
    <t>Employee Position</t>
  </si>
  <si>
    <t>Earnings</t>
  </si>
  <si>
    <t>Deductions</t>
  </si>
  <si>
    <t>Basic Pay</t>
  </si>
  <si>
    <t>Other Allowance</t>
  </si>
  <si>
    <t>Net Salary</t>
  </si>
  <si>
    <t>Total Earning:</t>
  </si>
  <si>
    <t>Total Duduction:</t>
  </si>
  <si>
    <t>Salary in words:</t>
  </si>
  <si>
    <t>Salary Paid by:</t>
  </si>
  <si>
    <t xml:space="preserve">Salary by </t>
  </si>
  <si>
    <t>Transfer</t>
  </si>
  <si>
    <t>Cheque</t>
  </si>
  <si>
    <t>Cash</t>
  </si>
  <si>
    <t>Employee Signature:______________________  Director:_____________________________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</si>
</sst>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6" fontId="0" fillId="0" borderId="0" xfId="0" applyNumberFormat="1"/>
    <xf numFmtId="44" fontId="0" fillId="0" borderId="0" xfId="1" applyFont="1"/>
    <xf numFmtId="14" fontId="0" fillId="0" borderId="0" xfId="0" applyNumberFormat="1"/>
    <xf numFmtId="0" fontId="0" fillId="0" borderId="0" xfId="0" applyAlignment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 applyAlignment="1"/>
    <xf numFmtId="0" fontId="0" fillId="33" borderId="0" xfId="0" applyFill="1" applyBorder="1" applyAlignment="1"/>
    <xf numFmtId="0" fontId="0" fillId="33" borderId="0" xfId="0" applyFill="1" applyBorder="1"/>
    <xf numFmtId="0" fontId="0" fillId="33" borderId="11" xfId="0" applyFill="1" applyBorder="1" applyAlignment="1">
      <alignment horizontal="center" vertical="center"/>
    </xf>
    <xf numFmtId="0" fontId="0" fillId="33" borderId="17" xfId="0" applyFill="1" applyBorder="1"/>
    <xf numFmtId="0" fontId="16" fillId="33" borderId="11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33" borderId="18" xfId="0" applyFill="1" applyBorder="1"/>
    <xf numFmtId="0" fontId="0" fillId="33" borderId="10" xfId="0" applyFill="1" applyBorder="1"/>
    <xf numFmtId="0" fontId="0" fillId="33" borderId="19" xfId="0" applyFill="1" applyBorder="1"/>
    <xf numFmtId="0" fontId="0" fillId="33" borderId="20" xfId="0" applyFill="1" applyBorder="1" applyAlignment="1"/>
    <xf numFmtId="0" fontId="0" fillId="33" borderId="20" xfId="0" applyFill="1" applyBorder="1"/>
    <xf numFmtId="0" fontId="0" fillId="33" borderId="21" xfId="0" applyFill="1" applyBorder="1"/>
    <xf numFmtId="0" fontId="22" fillId="33" borderId="11" xfId="0" applyFont="1" applyFill="1" applyBorder="1" applyAlignment="1">
      <alignment horizontal="center"/>
    </xf>
    <xf numFmtId="1" fontId="0" fillId="33" borderId="11" xfId="0" applyNumberFormat="1" applyFill="1" applyBorder="1" applyAlignment="1">
      <alignment horizontal="center" vertical="center"/>
    </xf>
    <xf numFmtId="1" fontId="16" fillId="33" borderId="11" xfId="0" applyNumberFormat="1" applyFont="1" applyFill="1" applyBorder="1" applyAlignment="1">
      <alignment horizontal="center" vertical="center"/>
    </xf>
    <xf numFmtId="0" fontId="24" fillId="0" borderId="0" xfId="0" applyFont="1"/>
    <xf numFmtId="164" fontId="18" fillId="33" borderId="12" xfId="1" applyNumberFormat="1" applyFont="1" applyFill="1" applyBorder="1" applyAlignment="1">
      <alignment horizontal="center" vertical="center"/>
    </xf>
    <xf numFmtId="164" fontId="18" fillId="33" borderId="13" xfId="1" applyNumberFormat="1" applyFont="1" applyFill="1" applyBorder="1" applyAlignment="1">
      <alignment horizontal="center" vertical="center"/>
    </xf>
    <xf numFmtId="164" fontId="18" fillId="33" borderId="14" xfId="1" applyNumberFormat="1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left" vertical="center"/>
    </xf>
    <xf numFmtId="0" fontId="19" fillId="33" borderId="0" xfId="0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0" fontId="21" fillId="33" borderId="10" xfId="0" applyFont="1" applyFill="1" applyBorder="1" applyAlignment="1">
      <alignment horizontal="center"/>
    </xf>
    <xf numFmtId="0" fontId="23" fillId="34" borderId="11" xfId="0" applyFont="1" applyFill="1" applyBorder="1" applyAlignment="1">
      <alignment horizontal="center" vertical="center"/>
    </xf>
    <xf numFmtId="0" fontId="16" fillId="33" borderId="12" xfId="0" applyFont="1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 wrapText="1"/>
    </xf>
    <xf numFmtId="0" fontId="25" fillId="33" borderId="11" xfId="0" applyFont="1" applyFill="1" applyBorder="1" applyAlignme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">
    <dxf>
      <numFmt numFmtId="10" formatCode="&quot;$&quot;#,##0_);[Red]\(&quot;$&quot;#,##0\)"/>
    </dxf>
    <dxf>
      <numFmt numFmtId="10" formatCode="&quot;$&quot;#,##0_);[Red]\(&quot;$&quot;#,##0\)"/>
    </dxf>
    <dxf>
      <numFmt numFmtId="34" formatCode="_(&quot;$&quot;* #,##0.00_);_(&quot;$&quot;* \(#,##0.00\);_(&quot;$&quot;* &quot;-&quot;??_);_(@_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88900</xdr:colOff>
      <xdr:row>1</xdr:row>
      <xdr:rowOff>158750</xdr:rowOff>
    </xdr:from>
    <xdr:to>
      <xdr:col>1</xdr:col>
      <xdr:colOff>901700</xdr:colOff>
      <xdr:row>3</xdr:row>
      <xdr:rowOff>82550</xdr:rowOff>
    </xdr:to>
    <xdr:sp macro="[0]!ExportPDF" textlink="">
      <xdr:nvSpPr>
        <xdr:cNvPr id="2" name="Oval 1">
          <a:extLst>
            <a:ext uri="{FF2B5EF4-FFF2-40B4-BE49-F238E27FC236}">
              <a16:creationId xmlns:a16="http://schemas.microsoft.com/office/drawing/2014/main" id="{6BD3AED3-60DF-4B34-BC73-3C019C93B967}"/>
            </a:ext>
          </a:extLst>
        </xdr:cNvPr>
        <xdr:cNvSpPr/>
      </xdr:nvSpPr>
      <xdr:spPr>
        <a:xfrm>
          <a:off x="482600" y="342900"/>
          <a:ext cx="812800" cy="533400"/>
        </a:xfrm>
        <a:prstGeom prst="ellipse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  <a:endParaRPr lang="en-US" sz="1000">
            <a:solidFill>
              <a:schemeClr val="bg1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L40" totalsRowShown="0">
  <autoFilter ref="A1:L40" xr:uid="{00000000-0009-0000-0100-000001000000}"/>
  <tableColumns count="12">
    <tableColumn id="1" xr3:uid="{00000000-0010-0000-0000-000001000000}" name="index"/>
    <tableColumn id="2" xr3:uid="{00000000-0010-0000-0000-000002000000}" name="Name"/>
    <tableColumn id="3" xr3:uid="{00000000-0010-0000-0000-000003000000}" name="Base Pay" dataDxfId="5"/>
    <tableColumn id="4" xr3:uid="{00000000-0010-0000-0000-000004000000}" name="University or Office"/>
    <tableColumn id="5" xr3:uid="{00000000-0010-0000-0000-000005000000}" name="Position"/>
    <tableColumn id="6" xr3:uid="{00000000-0010-0000-0000-000006000000}" name="Overtime"/>
    <tableColumn id="7" xr3:uid="{00000000-0010-0000-0000-000007000000}" name="Other Allowance" dataDxfId="4">
      <calculatedColumnFormula>Table1[[#This Row],[Base Pay]]/100</calculatedColumnFormula>
    </tableColumn>
    <tableColumn id="8" xr3:uid="{00000000-0010-0000-0000-000008000000}" name="Tax" dataDxfId="3">
      <calculatedColumnFormula>Table1[[#This Row],[Other Allowance]]/10</calculatedColumnFormula>
    </tableColumn>
    <tableColumn id="9" xr3:uid="{00000000-0010-0000-0000-000009000000}" name="Loan" dataDxfId="2" dataCellStyle="Currency">
      <calculatedColumnFormula>SUM(Table1[[#This Row],[Other Allowance]]/20,Table1[[#This Row],[Overtime]]/10)</calculatedColumnFormula>
    </tableColumn>
    <tableColumn id="10" xr3:uid="{00000000-0010-0000-0000-00000A000000}" name="Housing"/>
    <tableColumn id="11" xr3:uid="{00000000-0010-0000-0000-00000B000000}" name="Food Allowance" dataDxfId="1">
      <calculatedColumnFormula>Table1[[#This Row],[Base Pay]]/2000+Table1[[#This Row],[Overtime]]</calculatedColumnFormula>
    </tableColumn>
    <tableColumn id="12" xr3:uid="{971A8D2C-1F51-434C-9D93-43EA72BCCB1A}" name="Salary by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40"/>
  <sheetViews>
    <sheetView topLeftCell="A21" zoomScaleNormal="100" workbookViewId="0">
      <selection activeCell="G1" sqref="G1"/>
    </sheetView>
  </sheetViews>
  <sheetFormatPr defaultRowHeight="14.5" x14ac:dyDescent="0.35"/>
  <cols>
    <col min="2" max="2" width="22.54296875" bestFit="1" customWidth="1"/>
    <col min="3" max="3" width="10.1796875" customWidth="1"/>
    <col min="4" max="4" width="20.54296875" bestFit="1" customWidth="1"/>
    <col min="5" max="5" width="39" bestFit="1" customWidth="1"/>
    <col min="9" max="9" width="8.7265625" style="2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84</v>
      </c>
      <c r="G1" t="s">
        <v>99</v>
      </c>
      <c r="H1" t="s">
        <v>85</v>
      </c>
      <c r="I1" s="2" t="s">
        <v>86</v>
      </c>
      <c r="J1" t="s">
        <v>87</v>
      </c>
      <c r="K1" t="s">
        <v>88</v>
      </c>
      <c r="L1" t="s">
        <v>105</v>
      </c>
    </row>
    <row r="2" spans="1:12" x14ac:dyDescent="0.35">
      <c r="A2">
        <v>1001</v>
      </c>
      <c r="B2" t="s">
        <v>5</v>
      </c>
      <c r="C2" s="1">
        <v>275000</v>
      </c>
      <c r="D2" t="s">
        <v>6</v>
      </c>
      <c r="E2" t="s">
        <v>7</v>
      </c>
      <c r="F2">
        <v>150</v>
      </c>
      <c r="G2" s="1">
        <f>Table1[[#This Row],[Base Pay]]/100</f>
        <v>2750</v>
      </c>
      <c r="H2" s="1">
        <f>Table1[[#This Row],[Other Allowance]]/10</f>
        <v>275</v>
      </c>
      <c r="I2" s="2">
        <f>SUM(Table1[[#This Row],[Other Allowance]]/20,Table1[[#This Row],[Overtime]]/10)</f>
        <v>152.5</v>
      </c>
      <c r="K2" s="1">
        <f>Table1[[#This Row],[Base Pay]]/2000+Table1[[#This Row],[Overtime]]</f>
        <v>287.5</v>
      </c>
      <c r="L2" s="1" t="s">
        <v>106</v>
      </c>
    </row>
    <row r="3" spans="1:12" x14ac:dyDescent="0.35">
      <c r="A3">
        <v>1002</v>
      </c>
      <c r="B3" t="s">
        <v>8</v>
      </c>
      <c r="C3" s="1">
        <v>241935</v>
      </c>
      <c r="D3" t="s">
        <v>9</v>
      </c>
      <c r="E3" t="s">
        <v>7</v>
      </c>
      <c r="F3">
        <v>150</v>
      </c>
      <c r="G3" s="1">
        <f>Table1[[#This Row],[Base Pay]]/100</f>
        <v>2419.35</v>
      </c>
      <c r="H3" s="1">
        <f>Table1[[#This Row],[Other Allowance]]/10</f>
        <v>241.935</v>
      </c>
      <c r="I3" s="2">
        <f>SUM(Table1[[#This Row],[Other Allowance]]/20,Table1[[#This Row],[Overtime]]/10)</f>
        <v>135.9675</v>
      </c>
      <c r="J3">
        <v>2000</v>
      </c>
      <c r="K3" s="1">
        <f>Table1[[#This Row],[Base Pay]]/2000+Table1[[#This Row],[Overtime]]</f>
        <v>270.96749999999997</v>
      </c>
      <c r="L3" s="1" t="str">
        <f>L4</f>
        <v>Cheque</v>
      </c>
    </row>
    <row r="4" spans="1:12" x14ac:dyDescent="0.35">
      <c r="A4">
        <v>1003</v>
      </c>
      <c r="B4" t="s">
        <v>10</v>
      </c>
      <c r="C4" s="1">
        <v>230000</v>
      </c>
      <c r="D4" t="s">
        <v>11</v>
      </c>
      <c r="E4" t="s">
        <v>7</v>
      </c>
      <c r="F4">
        <v>150</v>
      </c>
      <c r="G4" s="1">
        <f>Table1[[#This Row],[Base Pay]]/100</f>
        <v>2300</v>
      </c>
      <c r="H4" s="1">
        <f>Table1[[#This Row],[Other Allowance]]/10</f>
        <v>230</v>
      </c>
      <c r="I4" s="2">
        <f>SUM(Table1[[#This Row],[Other Allowance]]/20,Table1[[#This Row],[Overtime]]/10)</f>
        <v>130</v>
      </c>
      <c r="K4" s="1">
        <f>Table1[[#This Row],[Base Pay]]/2000+Table1[[#This Row],[Overtime]]</f>
        <v>265</v>
      </c>
      <c r="L4" s="1" t="s">
        <v>107</v>
      </c>
    </row>
    <row r="5" spans="1:12" x14ac:dyDescent="0.35">
      <c r="A5">
        <v>1004</v>
      </c>
      <c r="B5" t="s">
        <v>12</v>
      </c>
      <c r="C5" s="1">
        <v>225000</v>
      </c>
      <c r="D5" t="s">
        <v>13</v>
      </c>
      <c r="E5" t="s">
        <v>7</v>
      </c>
      <c r="F5">
        <v>150</v>
      </c>
      <c r="G5" s="1">
        <f>Table1[[#This Row],[Base Pay]]/100</f>
        <v>2250</v>
      </c>
      <c r="H5" s="1">
        <f>Table1[[#This Row],[Other Allowance]]/10</f>
        <v>225</v>
      </c>
      <c r="I5" s="2">
        <f>SUM(Table1[[#This Row],[Other Allowance]]/20,Table1[[#This Row],[Overtime]]/10)</f>
        <v>127.5</v>
      </c>
      <c r="K5" s="1">
        <f>Table1[[#This Row],[Base Pay]]/2000+Table1[[#This Row],[Overtime]]</f>
        <v>262.5</v>
      </c>
      <c r="L5" s="1" t="s">
        <v>108</v>
      </c>
    </row>
    <row r="6" spans="1:12" x14ac:dyDescent="0.35">
      <c r="A6">
        <v>1005</v>
      </c>
      <c r="B6" t="s">
        <v>14</v>
      </c>
      <c r="C6" s="1">
        <v>225000</v>
      </c>
      <c r="D6" t="s">
        <v>15</v>
      </c>
      <c r="E6" t="s">
        <v>7</v>
      </c>
      <c r="F6">
        <v>150</v>
      </c>
      <c r="G6" s="1">
        <f>Table1[[#This Row],[Base Pay]]/100</f>
        <v>2250</v>
      </c>
      <c r="H6" s="1">
        <f>Table1[[#This Row],[Other Allowance]]/10</f>
        <v>225</v>
      </c>
      <c r="I6" s="2">
        <f>SUM(Table1[[#This Row],[Other Allowance]]/20,Table1[[#This Row],[Overtime]]/10)</f>
        <v>127.5</v>
      </c>
      <c r="J6">
        <v>2300</v>
      </c>
      <c r="K6" s="1">
        <f>Table1[[#This Row],[Base Pay]]/2000+Table1[[#This Row],[Overtime]]</f>
        <v>262.5</v>
      </c>
      <c r="L6" s="1" t="s">
        <v>108</v>
      </c>
    </row>
    <row r="7" spans="1:12" x14ac:dyDescent="0.35">
      <c r="A7">
        <v>1006</v>
      </c>
      <c r="B7" t="s">
        <v>16</v>
      </c>
      <c r="C7" s="1">
        <v>222100</v>
      </c>
      <c r="D7" t="s">
        <v>17</v>
      </c>
      <c r="E7" t="s">
        <v>7</v>
      </c>
      <c r="F7">
        <v>200</v>
      </c>
      <c r="G7" s="1">
        <f>Table1[[#This Row],[Base Pay]]/100</f>
        <v>2221</v>
      </c>
      <c r="H7" s="1">
        <f>Table1[[#This Row],[Other Allowance]]/10</f>
        <v>222.1</v>
      </c>
      <c r="I7" s="2">
        <f>SUM(Table1[[#This Row],[Other Allowance]]/20,Table1[[#This Row],[Overtime]]/10)</f>
        <v>131.05000000000001</v>
      </c>
      <c r="K7" s="1">
        <f>Table1[[#This Row],[Base Pay]]/2000+Table1[[#This Row],[Overtime]]</f>
        <v>311.05</v>
      </c>
      <c r="L7" s="1" t="str">
        <f>L2</f>
        <v>Transfer</v>
      </c>
    </row>
    <row r="8" spans="1:12" x14ac:dyDescent="0.35">
      <c r="A8">
        <v>1007</v>
      </c>
      <c r="B8" t="s">
        <v>18</v>
      </c>
      <c r="C8" s="1">
        <v>220000</v>
      </c>
      <c r="D8" t="s">
        <v>19</v>
      </c>
      <c r="E8" t="s">
        <v>7</v>
      </c>
      <c r="F8">
        <v>150</v>
      </c>
      <c r="G8" s="1">
        <f>Table1[[#This Row],[Base Pay]]/100</f>
        <v>2200</v>
      </c>
      <c r="H8" s="1">
        <f>Table1[[#This Row],[Other Allowance]]/10</f>
        <v>220</v>
      </c>
      <c r="I8" s="2">
        <f>SUM(Table1[[#This Row],[Other Allowance]]/20,Table1[[#This Row],[Overtime]]/10)</f>
        <v>125</v>
      </c>
      <c r="K8" s="1">
        <f>Table1[[#This Row],[Base Pay]]/2000+Table1[[#This Row],[Overtime]]</f>
        <v>260</v>
      </c>
      <c r="L8" s="1" t="str">
        <f>L4</f>
        <v>Cheque</v>
      </c>
    </row>
    <row r="9" spans="1:12" x14ac:dyDescent="0.35">
      <c r="A9">
        <v>1008</v>
      </c>
      <c r="B9" t="s">
        <v>20</v>
      </c>
      <c r="C9" s="1">
        <v>220000</v>
      </c>
      <c r="D9" t="s">
        <v>21</v>
      </c>
      <c r="E9" t="s">
        <v>7</v>
      </c>
      <c r="F9">
        <v>200</v>
      </c>
      <c r="G9" s="1">
        <f>Table1[[#This Row],[Base Pay]]/100</f>
        <v>2200</v>
      </c>
      <c r="H9" s="1">
        <f>Table1[[#This Row],[Other Allowance]]/10</f>
        <v>220</v>
      </c>
      <c r="I9" s="2">
        <f>SUM(Table1[[#This Row],[Other Allowance]]/20,Table1[[#This Row],[Overtime]]/10)</f>
        <v>130</v>
      </c>
      <c r="J9">
        <f>J17</f>
        <v>1900</v>
      </c>
      <c r="K9" s="1">
        <f>Table1[[#This Row],[Base Pay]]/2000+Table1[[#This Row],[Overtime]]</f>
        <v>310</v>
      </c>
      <c r="L9" s="1" t="s">
        <v>106</v>
      </c>
    </row>
    <row r="10" spans="1:12" x14ac:dyDescent="0.35">
      <c r="A10">
        <v>1009</v>
      </c>
      <c r="B10" t="s">
        <v>22</v>
      </c>
      <c r="C10" s="1">
        <v>218956</v>
      </c>
      <c r="D10" t="s">
        <v>23</v>
      </c>
      <c r="E10" t="s">
        <v>7</v>
      </c>
      <c r="F10">
        <v>250</v>
      </c>
      <c r="G10" s="1">
        <f>Table1[[#This Row],[Base Pay]]/100</f>
        <v>2189.56</v>
      </c>
      <c r="H10" s="1">
        <f>Table1[[#This Row],[Other Allowance]]/10</f>
        <v>218.95599999999999</v>
      </c>
      <c r="I10" s="2">
        <f>SUM(Table1[[#This Row],[Other Allowance]]/20,Table1[[#This Row],[Overtime]]/10)</f>
        <v>134.47800000000001</v>
      </c>
      <c r="K10" s="1">
        <f>Table1[[#This Row],[Base Pay]]/2000+Table1[[#This Row],[Overtime]]</f>
        <v>359.47800000000001</v>
      </c>
      <c r="L10" s="1" t="s">
        <v>106</v>
      </c>
    </row>
    <row r="11" spans="1:12" x14ac:dyDescent="0.35">
      <c r="A11">
        <v>1010</v>
      </c>
      <c r="B11" t="s">
        <v>24</v>
      </c>
      <c r="C11" s="1">
        <v>207568</v>
      </c>
      <c r="D11" t="s">
        <v>23</v>
      </c>
      <c r="E11" t="s">
        <v>25</v>
      </c>
      <c r="F11">
        <v>300</v>
      </c>
      <c r="G11" s="1">
        <f>Table1[[#This Row],[Base Pay]]/100</f>
        <v>2075.6799999999998</v>
      </c>
      <c r="H11" s="1">
        <f>Table1[[#This Row],[Other Allowance]]/10</f>
        <v>207.56799999999998</v>
      </c>
      <c r="I11" s="2">
        <f>SUM(Table1[[#This Row],[Other Allowance]]/20,Table1[[#This Row],[Overtime]]/10)</f>
        <v>133.78399999999999</v>
      </c>
      <c r="J11">
        <v>1900</v>
      </c>
      <c r="K11" s="1">
        <f>Table1[[#This Row],[Base Pay]]/2000+Table1[[#This Row],[Overtime]]</f>
        <v>403.78399999999999</v>
      </c>
      <c r="L11" s="1" t="s">
        <v>106</v>
      </c>
    </row>
    <row r="12" spans="1:12" x14ac:dyDescent="0.35">
      <c r="A12">
        <v>1011</v>
      </c>
      <c r="B12" t="s">
        <v>26</v>
      </c>
      <c r="C12" s="1">
        <v>207197</v>
      </c>
      <c r="D12" t="s">
        <v>27</v>
      </c>
      <c r="E12" t="s">
        <v>7</v>
      </c>
      <c r="F12">
        <v>350</v>
      </c>
      <c r="G12" s="1">
        <f>Table1[[#This Row],[Base Pay]]/100</f>
        <v>2071.9699999999998</v>
      </c>
      <c r="H12" s="1">
        <f>Table1[[#This Row],[Other Allowance]]/10</f>
        <v>207.19699999999997</v>
      </c>
      <c r="I12" s="2">
        <f>SUM(Table1[[#This Row],[Other Allowance]]/20,Table1[[#This Row],[Overtime]]/10)</f>
        <v>138.5985</v>
      </c>
      <c r="K12" s="1">
        <f>Table1[[#This Row],[Base Pay]]/2000+Table1[[#This Row],[Overtime]]</f>
        <v>453.5985</v>
      </c>
      <c r="L12" s="1" t="s">
        <v>106</v>
      </c>
    </row>
    <row r="13" spans="1:12" x14ac:dyDescent="0.35">
      <c r="A13">
        <v>1012</v>
      </c>
      <c r="B13" t="s">
        <v>28</v>
      </c>
      <c r="C13" s="1">
        <v>206196</v>
      </c>
      <c r="D13" t="s">
        <v>29</v>
      </c>
      <c r="E13" t="s">
        <v>7</v>
      </c>
      <c r="F13">
        <v>250</v>
      </c>
      <c r="G13" s="1">
        <f>Table1[[#This Row],[Base Pay]]/100</f>
        <v>2061.96</v>
      </c>
      <c r="H13" s="1">
        <f>Table1[[#This Row],[Other Allowance]]/10</f>
        <v>206.196</v>
      </c>
      <c r="I13" s="2">
        <f>SUM(Table1[[#This Row],[Other Allowance]]/20,Table1[[#This Row],[Overtime]]/10)</f>
        <v>128.09800000000001</v>
      </c>
      <c r="K13" s="1">
        <f>Table1[[#This Row],[Base Pay]]/2000+Table1[[#This Row],[Overtime]]</f>
        <v>353.09800000000001</v>
      </c>
      <c r="L13" s="1" t="s">
        <v>106</v>
      </c>
    </row>
    <row r="14" spans="1:12" x14ac:dyDescent="0.35">
      <c r="A14">
        <v>1013</v>
      </c>
      <c r="B14" t="s">
        <v>30</v>
      </c>
      <c r="C14" s="1">
        <v>205000</v>
      </c>
      <c r="D14" t="s">
        <v>21</v>
      </c>
      <c r="E14" t="s">
        <v>31</v>
      </c>
      <c r="F14">
        <v>250</v>
      </c>
      <c r="G14" s="1">
        <f>Table1[[#This Row],[Base Pay]]/100</f>
        <v>2050</v>
      </c>
      <c r="H14" s="1">
        <f>Table1[[#This Row],[Other Allowance]]/10</f>
        <v>205</v>
      </c>
      <c r="I14" s="2">
        <f>SUM(Table1[[#This Row],[Other Allowance]]/20,Table1[[#This Row],[Overtime]]/10)</f>
        <v>127.5</v>
      </c>
      <c r="J14">
        <f>J6</f>
        <v>2300</v>
      </c>
      <c r="K14" s="1">
        <f>Table1[[#This Row],[Base Pay]]/2000+Table1[[#This Row],[Overtime]]</f>
        <v>352.5</v>
      </c>
      <c r="L14" s="1" t="s">
        <v>106</v>
      </c>
    </row>
    <row r="15" spans="1:12" x14ac:dyDescent="0.35">
      <c r="A15">
        <v>1014</v>
      </c>
      <c r="B15" t="s">
        <v>32</v>
      </c>
      <c r="C15" s="1">
        <v>202430</v>
      </c>
      <c r="D15" t="s">
        <v>33</v>
      </c>
      <c r="E15" t="s">
        <v>7</v>
      </c>
      <c r="F15">
        <v>250</v>
      </c>
      <c r="G15" s="1">
        <f>Table1[[#This Row],[Base Pay]]/100</f>
        <v>2024.3</v>
      </c>
      <c r="H15" s="1">
        <f>Table1[[#This Row],[Other Allowance]]/10</f>
        <v>202.43</v>
      </c>
      <c r="I15" s="2">
        <f>SUM(Table1[[#This Row],[Other Allowance]]/20,Table1[[#This Row],[Overtime]]/10)</f>
        <v>126.215</v>
      </c>
      <c r="K15" s="1">
        <f>Table1[[#This Row],[Base Pay]]/2000+Table1[[#This Row],[Overtime]]</f>
        <v>351.21500000000003</v>
      </c>
      <c r="L15" s="1" t="s">
        <v>108</v>
      </c>
    </row>
    <row r="16" spans="1:12" x14ac:dyDescent="0.35">
      <c r="A16">
        <v>1015</v>
      </c>
      <c r="B16" t="s">
        <v>34</v>
      </c>
      <c r="C16" s="1">
        <v>200820</v>
      </c>
      <c r="D16" t="s">
        <v>35</v>
      </c>
      <c r="E16" t="s">
        <v>36</v>
      </c>
      <c r="F16">
        <v>150</v>
      </c>
      <c r="G16" s="1">
        <f>Table1[[#This Row],[Base Pay]]/100</f>
        <v>2008.2</v>
      </c>
      <c r="H16" s="1">
        <f>Table1[[#This Row],[Other Allowance]]/10</f>
        <v>200.82</v>
      </c>
      <c r="I16" s="2">
        <f>SUM(Table1[[#This Row],[Other Allowance]]/20,Table1[[#This Row],[Overtime]]/10)</f>
        <v>115.41</v>
      </c>
      <c r="K16" s="1">
        <f>Table1[[#This Row],[Base Pay]]/2000+Table1[[#This Row],[Overtime]]</f>
        <v>250.41</v>
      </c>
      <c r="L16" s="1" t="s">
        <v>108</v>
      </c>
    </row>
    <row r="17" spans="1:12" x14ac:dyDescent="0.35">
      <c r="A17">
        <v>1016</v>
      </c>
      <c r="B17" t="s">
        <v>37</v>
      </c>
      <c r="C17" s="1">
        <v>200366</v>
      </c>
      <c r="D17" t="s">
        <v>17</v>
      </c>
      <c r="E17" t="s">
        <v>38</v>
      </c>
      <c r="F17">
        <v>150</v>
      </c>
      <c r="G17" s="1">
        <f>Table1[[#This Row],[Base Pay]]/100</f>
        <v>2003.66</v>
      </c>
      <c r="H17" s="1">
        <f>Table1[[#This Row],[Other Allowance]]/10</f>
        <v>200.36600000000001</v>
      </c>
      <c r="I17" s="2">
        <f>SUM(Table1[[#This Row],[Other Allowance]]/20,Table1[[#This Row],[Overtime]]/10)</f>
        <v>115.18300000000001</v>
      </c>
      <c r="J17">
        <v>1900</v>
      </c>
      <c r="K17" s="1">
        <f>Table1[[#This Row],[Base Pay]]/2000+Table1[[#This Row],[Overtime]]</f>
        <v>250.18299999999999</v>
      </c>
      <c r="L17" s="1" t="s">
        <v>108</v>
      </c>
    </row>
    <row r="18" spans="1:12" x14ac:dyDescent="0.35">
      <c r="A18">
        <v>1017</v>
      </c>
      <c r="B18" t="s">
        <v>39</v>
      </c>
      <c r="C18" s="1">
        <v>199477</v>
      </c>
      <c r="D18" t="s">
        <v>40</v>
      </c>
      <c r="E18" t="s">
        <v>41</v>
      </c>
      <c r="F18">
        <v>150</v>
      </c>
      <c r="G18" s="1">
        <f>Table1[[#This Row],[Base Pay]]/100</f>
        <v>1994.77</v>
      </c>
      <c r="H18" s="1">
        <f>Table1[[#This Row],[Other Allowance]]/10</f>
        <v>199.477</v>
      </c>
      <c r="I18" s="2">
        <f>SUM(Table1[[#This Row],[Other Allowance]]/20,Table1[[#This Row],[Overtime]]/10)</f>
        <v>114.7385</v>
      </c>
      <c r="K18" s="1">
        <f>Table1[[#This Row],[Base Pay]]/2000+Table1[[#This Row],[Overtime]]</f>
        <v>249.73849999999999</v>
      </c>
      <c r="L18" s="1" t="s">
        <v>108</v>
      </c>
    </row>
    <row r="19" spans="1:12" x14ac:dyDescent="0.35">
      <c r="A19">
        <v>1018</v>
      </c>
      <c r="B19" t="s">
        <v>42</v>
      </c>
      <c r="C19" s="1">
        <v>198956</v>
      </c>
      <c r="D19" t="s">
        <v>43</v>
      </c>
      <c r="E19" t="s">
        <v>44</v>
      </c>
      <c r="F19">
        <v>150</v>
      </c>
      <c r="G19" s="1">
        <f>Table1[[#This Row],[Base Pay]]/100</f>
        <v>1989.56</v>
      </c>
      <c r="H19" s="1">
        <f>Table1[[#This Row],[Other Allowance]]/10</f>
        <v>198.95599999999999</v>
      </c>
      <c r="I19" s="2">
        <f>SUM(Table1[[#This Row],[Other Allowance]]/20,Table1[[#This Row],[Overtime]]/10)</f>
        <v>114.47799999999999</v>
      </c>
      <c r="K19" s="1">
        <f>Table1[[#This Row],[Base Pay]]/2000+Table1[[#This Row],[Overtime]]</f>
        <v>249.47800000000001</v>
      </c>
      <c r="L19" s="1" t="s">
        <v>107</v>
      </c>
    </row>
    <row r="20" spans="1:12" x14ac:dyDescent="0.35">
      <c r="A20">
        <v>1019</v>
      </c>
      <c r="B20" t="s">
        <v>45</v>
      </c>
      <c r="C20" s="1">
        <v>195118</v>
      </c>
      <c r="D20" t="s">
        <v>13</v>
      </c>
      <c r="E20" t="s">
        <v>46</v>
      </c>
      <c r="F20">
        <v>150</v>
      </c>
      <c r="G20" s="1">
        <f>Table1[[#This Row],[Base Pay]]/100</f>
        <v>1951.18</v>
      </c>
      <c r="H20" s="1">
        <f>Table1[[#This Row],[Other Allowance]]/10</f>
        <v>195.11799999999999</v>
      </c>
      <c r="I20" s="2">
        <f>SUM(Table1[[#This Row],[Other Allowance]]/20,Table1[[#This Row],[Overtime]]/10)</f>
        <v>112.559</v>
      </c>
      <c r="K20" s="1">
        <f>Table1[[#This Row],[Base Pay]]/2000+Table1[[#This Row],[Overtime]]</f>
        <v>247.559</v>
      </c>
      <c r="L20" s="1" t="s">
        <v>107</v>
      </c>
    </row>
    <row r="21" spans="1:12" x14ac:dyDescent="0.35">
      <c r="A21">
        <v>1020</v>
      </c>
      <c r="B21" t="s">
        <v>47</v>
      </c>
      <c r="C21" s="1">
        <v>192610</v>
      </c>
      <c r="D21" t="s">
        <v>6</v>
      </c>
      <c r="E21" t="s">
        <v>25</v>
      </c>
      <c r="F21">
        <v>150</v>
      </c>
      <c r="G21" s="1">
        <f>Table1[[#This Row],[Base Pay]]/100</f>
        <v>1926.1</v>
      </c>
      <c r="H21" s="1">
        <f>Table1[[#This Row],[Other Allowance]]/10</f>
        <v>192.60999999999999</v>
      </c>
      <c r="I21" s="2">
        <f>SUM(Table1[[#This Row],[Other Allowance]]/20,Table1[[#This Row],[Overtime]]/10)</f>
        <v>111.30499999999999</v>
      </c>
      <c r="J21">
        <v>1540</v>
      </c>
      <c r="K21" s="1">
        <f>Table1[[#This Row],[Base Pay]]/2000+Table1[[#This Row],[Overtime]]</f>
        <v>246.30500000000001</v>
      </c>
      <c r="L21" s="1" t="s">
        <v>107</v>
      </c>
    </row>
    <row r="22" spans="1:12" x14ac:dyDescent="0.35">
      <c r="A22">
        <v>1021</v>
      </c>
      <c r="B22" t="s">
        <v>48</v>
      </c>
      <c r="C22" s="1">
        <v>190668</v>
      </c>
      <c r="D22" t="s">
        <v>17</v>
      </c>
      <c r="E22" t="s">
        <v>49</v>
      </c>
      <c r="F22">
        <v>150</v>
      </c>
      <c r="G22" s="1">
        <f>Table1[[#This Row],[Base Pay]]/100</f>
        <v>1906.68</v>
      </c>
      <c r="H22" s="1">
        <f>Table1[[#This Row],[Other Allowance]]/10</f>
        <v>190.66800000000001</v>
      </c>
      <c r="I22" s="2">
        <f>SUM(Table1[[#This Row],[Other Allowance]]/20,Table1[[#This Row],[Overtime]]/10)</f>
        <v>110.334</v>
      </c>
      <c r="K22" s="1">
        <f>Table1[[#This Row],[Base Pay]]/2000+Table1[[#This Row],[Overtime]]</f>
        <v>245.334</v>
      </c>
      <c r="L22" s="1" t="s">
        <v>107</v>
      </c>
    </row>
    <row r="23" spans="1:12" x14ac:dyDescent="0.35">
      <c r="A23">
        <v>1022</v>
      </c>
      <c r="B23" t="s">
        <v>50</v>
      </c>
      <c r="C23" s="1">
        <v>190668</v>
      </c>
      <c r="D23" t="s">
        <v>17</v>
      </c>
      <c r="E23" t="s">
        <v>51</v>
      </c>
      <c r="F23">
        <v>150</v>
      </c>
      <c r="G23" s="1">
        <f>Table1[[#This Row],[Base Pay]]/100</f>
        <v>1906.68</v>
      </c>
      <c r="H23" s="1">
        <f>Table1[[#This Row],[Other Allowance]]/10</f>
        <v>190.66800000000001</v>
      </c>
      <c r="I23" s="2">
        <f>SUM(Table1[[#This Row],[Other Allowance]]/20,Table1[[#This Row],[Overtime]]/10)</f>
        <v>110.334</v>
      </c>
      <c r="K23" s="1">
        <f>Table1[[#This Row],[Base Pay]]/2000+Table1[[#This Row],[Overtime]]</f>
        <v>245.334</v>
      </c>
      <c r="L23" s="1" t="s">
        <v>107</v>
      </c>
    </row>
    <row r="24" spans="1:12" x14ac:dyDescent="0.35">
      <c r="A24">
        <v>1023</v>
      </c>
      <c r="B24" t="s">
        <v>52</v>
      </c>
      <c r="C24" s="1">
        <v>187204</v>
      </c>
      <c r="D24" t="s">
        <v>40</v>
      </c>
      <c r="E24" t="s">
        <v>53</v>
      </c>
      <c r="F24">
        <v>150</v>
      </c>
      <c r="G24" s="1">
        <f>Table1[[#This Row],[Base Pay]]/100</f>
        <v>1872.04</v>
      </c>
      <c r="H24" s="1">
        <f>Table1[[#This Row],[Other Allowance]]/10</f>
        <v>187.20400000000001</v>
      </c>
      <c r="I24" s="2">
        <f>SUM(Table1[[#This Row],[Other Allowance]]/20,Table1[[#This Row],[Overtime]]/10)</f>
        <v>108.602</v>
      </c>
      <c r="J24">
        <v>1800</v>
      </c>
      <c r="K24" s="1">
        <f>Table1[[#This Row],[Base Pay]]/2000+Table1[[#This Row],[Overtime]]</f>
        <v>243.602</v>
      </c>
      <c r="L24" s="1" t="s">
        <v>107</v>
      </c>
    </row>
    <row r="25" spans="1:12" x14ac:dyDescent="0.35">
      <c r="A25">
        <v>1024</v>
      </c>
      <c r="B25" t="s">
        <v>54</v>
      </c>
      <c r="C25" s="1">
        <v>183799</v>
      </c>
      <c r="D25" t="s">
        <v>40</v>
      </c>
      <c r="E25" t="s">
        <v>55</v>
      </c>
      <c r="F25">
        <v>150</v>
      </c>
      <c r="G25" s="1">
        <f>Table1[[#This Row],[Base Pay]]/100</f>
        <v>1837.99</v>
      </c>
      <c r="H25" s="1">
        <f>Table1[[#This Row],[Other Allowance]]/10</f>
        <v>183.79900000000001</v>
      </c>
      <c r="I25" s="2">
        <f>SUM(Table1[[#This Row],[Other Allowance]]/20,Table1[[#This Row],[Overtime]]/10)</f>
        <v>106.8995</v>
      </c>
      <c r="K25" s="1">
        <f>Table1[[#This Row],[Base Pay]]/2000+Table1[[#This Row],[Overtime]]</f>
        <v>241.89949999999999</v>
      </c>
      <c r="L25" s="1" t="s">
        <v>107</v>
      </c>
    </row>
    <row r="26" spans="1:12" x14ac:dyDescent="0.35">
      <c r="A26">
        <v>1025</v>
      </c>
      <c r="B26" t="s">
        <v>56</v>
      </c>
      <c r="C26" s="1">
        <v>182900</v>
      </c>
      <c r="D26" t="s">
        <v>21</v>
      </c>
      <c r="E26" t="s">
        <v>57</v>
      </c>
      <c r="F26">
        <v>150</v>
      </c>
      <c r="G26" s="1">
        <f>Table1[[#This Row],[Base Pay]]/100</f>
        <v>1829</v>
      </c>
      <c r="H26" s="1">
        <f>Table1[[#This Row],[Other Allowance]]/10</f>
        <v>182.9</v>
      </c>
      <c r="I26" s="2">
        <f>SUM(Table1[[#This Row],[Other Allowance]]/20,Table1[[#This Row],[Overtime]]/10)</f>
        <v>106.45</v>
      </c>
      <c r="K26" s="1">
        <f>Table1[[#This Row],[Base Pay]]/2000+Table1[[#This Row],[Overtime]]</f>
        <v>241.45</v>
      </c>
      <c r="L26" s="1" t="s">
        <v>106</v>
      </c>
    </row>
    <row r="27" spans="1:12" x14ac:dyDescent="0.35">
      <c r="A27">
        <v>1026</v>
      </c>
      <c r="B27" t="s">
        <v>58</v>
      </c>
      <c r="C27" s="1">
        <v>182000</v>
      </c>
      <c r="D27" t="s">
        <v>27</v>
      </c>
      <c r="E27" t="s">
        <v>59</v>
      </c>
      <c r="F27">
        <v>150</v>
      </c>
      <c r="G27" s="1">
        <f>Table1[[#This Row],[Base Pay]]/100</f>
        <v>1820</v>
      </c>
      <c r="H27" s="1">
        <f>Table1[[#This Row],[Other Allowance]]/10</f>
        <v>182</v>
      </c>
      <c r="I27" s="2">
        <f>SUM(Table1[[#This Row],[Other Allowance]]/20,Table1[[#This Row],[Overtime]]/10)</f>
        <v>106</v>
      </c>
      <c r="J27">
        <v>1680</v>
      </c>
      <c r="K27" s="1">
        <f>Table1[[#This Row],[Base Pay]]/2000+Table1[[#This Row],[Overtime]]</f>
        <v>241</v>
      </c>
      <c r="L27" s="1" t="s">
        <v>106</v>
      </c>
    </row>
    <row r="28" spans="1:12" x14ac:dyDescent="0.35">
      <c r="A28">
        <v>1027</v>
      </c>
      <c r="B28" t="s">
        <v>60</v>
      </c>
      <c r="C28" s="1">
        <v>182000</v>
      </c>
      <c r="D28" t="s">
        <v>6</v>
      </c>
      <c r="E28" t="s">
        <v>61</v>
      </c>
      <c r="F28">
        <v>150</v>
      </c>
      <c r="G28" s="1">
        <f>Table1[[#This Row],[Base Pay]]/100</f>
        <v>1820</v>
      </c>
      <c r="H28" s="1">
        <f>Table1[[#This Row],[Other Allowance]]/10</f>
        <v>182</v>
      </c>
      <c r="I28" s="2">
        <f>SUM(Table1[[#This Row],[Other Allowance]]/20,Table1[[#This Row],[Overtime]]/10)</f>
        <v>106</v>
      </c>
      <c r="K28" s="1">
        <f>Table1[[#This Row],[Base Pay]]/2000+Table1[[#This Row],[Overtime]]</f>
        <v>241</v>
      </c>
      <c r="L28" s="1" t="s">
        <v>106</v>
      </c>
    </row>
    <row r="29" spans="1:12" x14ac:dyDescent="0.35">
      <c r="A29">
        <v>1028</v>
      </c>
      <c r="B29" t="s">
        <v>62</v>
      </c>
      <c r="C29" s="1">
        <v>181847</v>
      </c>
      <c r="D29" t="s">
        <v>11</v>
      </c>
      <c r="E29" t="s">
        <v>63</v>
      </c>
      <c r="F29">
        <v>150</v>
      </c>
      <c r="G29" s="1">
        <f>Table1[[#This Row],[Base Pay]]/100</f>
        <v>1818.47</v>
      </c>
      <c r="H29" s="1">
        <f>Table1[[#This Row],[Other Allowance]]/10</f>
        <v>181.84700000000001</v>
      </c>
      <c r="I29" s="2">
        <f>SUM(Table1[[#This Row],[Other Allowance]]/20,Table1[[#This Row],[Overtime]]/10)</f>
        <v>105.9235</v>
      </c>
      <c r="K29" s="1">
        <f>Table1[[#This Row],[Base Pay]]/2000+Table1[[#This Row],[Overtime]]</f>
        <v>240.92349999999999</v>
      </c>
      <c r="L29" s="1" t="s">
        <v>106</v>
      </c>
    </row>
    <row r="30" spans="1:12" x14ac:dyDescent="0.35">
      <c r="A30">
        <v>1029</v>
      </c>
      <c r="B30" t="s">
        <v>64</v>
      </c>
      <c r="C30" s="1">
        <v>180883</v>
      </c>
      <c r="D30" t="s">
        <v>9</v>
      </c>
      <c r="E30" t="s">
        <v>65</v>
      </c>
      <c r="F30">
        <v>150</v>
      </c>
      <c r="G30" s="1">
        <f>Table1[[#This Row],[Base Pay]]/100</f>
        <v>1808.83</v>
      </c>
      <c r="H30" s="1">
        <f>Table1[[#This Row],[Other Allowance]]/10</f>
        <v>180.88299999999998</v>
      </c>
      <c r="I30" s="2">
        <f>SUM(Table1[[#This Row],[Other Allowance]]/20,Table1[[#This Row],[Overtime]]/10)</f>
        <v>105.44149999999999</v>
      </c>
      <c r="J30">
        <v>1500</v>
      </c>
      <c r="K30" s="1">
        <f>Table1[[#This Row],[Base Pay]]/2000+Table1[[#This Row],[Overtime]]</f>
        <v>240.44150000000002</v>
      </c>
      <c r="L30" s="1" t="s">
        <v>106</v>
      </c>
    </row>
    <row r="31" spans="1:12" x14ac:dyDescent="0.35">
      <c r="A31">
        <v>1030</v>
      </c>
      <c r="B31" t="s">
        <v>66</v>
      </c>
      <c r="C31" s="1">
        <v>180250</v>
      </c>
      <c r="D31" t="s">
        <v>40</v>
      </c>
      <c r="E31" t="s">
        <v>67</v>
      </c>
      <c r="F31">
        <v>150</v>
      </c>
      <c r="G31" s="1">
        <f>Table1[[#This Row],[Base Pay]]/100</f>
        <v>1802.5</v>
      </c>
      <c r="H31" s="1">
        <f>Table1[[#This Row],[Other Allowance]]/10</f>
        <v>180.25</v>
      </c>
      <c r="I31" s="2">
        <f>SUM(Table1[[#This Row],[Other Allowance]]/20,Table1[[#This Row],[Overtime]]/10)</f>
        <v>105.125</v>
      </c>
      <c r="K31" s="1">
        <f>Table1[[#This Row],[Base Pay]]/2000+Table1[[#This Row],[Overtime]]</f>
        <v>240.125</v>
      </c>
      <c r="L31" s="1" t="s">
        <v>106</v>
      </c>
    </row>
    <row r="32" spans="1:12" x14ac:dyDescent="0.35">
      <c r="A32">
        <v>1031</v>
      </c>
      <c r="B32" t="s">
        <v>68</v>
      </c>
      <c r="C32" s="1">
        <v>180030</v>
      </c>
      <c r="D32" t="s">
        <v>29</v>
      </c>
      <c r="E32" t="s">
        <v>69</v>
      </c>
      <c r="F32">
        <v>150</v>
      </c>
      <c r="G32" s="1">
        <f>Table1[[#This Row],[Base Pay]]/100</f>
        <v>1800.3</v>
      </c>
      <c r="H32" s="1">
        <f>Table1[[#This Row],[Other Allowance]]/10</f>
        <v>180.03</v>
      </c>
      <c r="I32" s="2">
        <f>SUM(Table1[[#This Row],[Other Allowance]]/20,Table1[[#This Row],[Overtime]]/10)</f>
        <v>105.015</v>
      </c>
      <c r="J32">
        <v>1350</v>
      </c>
      <c r="K32" s="1">
        <f>Table1[[#This Row],[Base Pay]]/2000+Table1[[#This Row],[Overtime]]</f>
        <v>240.01499999999999</v>
      </c>
      <c r="L32" s="1" t="s">
        <v>106</v>
      </c>
    </row>
    <row r="33" spans="1:12" x14ac:dyDescent="0.35">
      <c r="A33">
        <v>1032</v>
      </c>
      <c r="B33" t="s">
        <v>70</v>
      </c>
      <c r="C33" s="1">
        <v>178879</v>
      </c>
      <c r="D33" t="s">
        <v>9</v>
      </c>
      <c r="E33" t="s">
        <v>71</v>
      </c>
      <c r="F33">
        <v>150</v>
      </c>
      <c r="G33" s="1">
        <f>Table1[[#This Row],[Base Pay]]/100</f>
        <v>1788.79</v>
      </c>
      <c r="H33" s="1">
        <f>Table1[[#This Row],[Other Allowance]]/10</f>
        <v>178.87899999999999</v>
      </c>
      <c r="I33" s="2">
        <f>SUM(Table1[[#This Row],[Other Allowance]]/20,Table1[[#This Row],[Overtime]]/10)</f>
        <v>104.4395</v>
      </c>
      <c r="K33" s="1">
        <f>Table1[[#This Row],[Base Pay]]/2000+Table1[[#This Row],[Overtime]]</f>
        <v>239.43950000000001</v>
      </c>
      <c r="L33" s="1" t="s">
        <v>106</v>
      </c>
    </row>
    <row r="34" spans="1:12" x14ac:dyDescent="0.35">
      <c r="A34">
        <v>1033</v>
      </c>
      <c r="B34" t="s">
        <v>72</v>
      </c>
      <c r="C34" s="1">
        <v>178048</v>
      </c>
      <c r="D34" t="s">
        <v>23</v>
      </c>
      <c r="E34" t="s">
        <v>61</v>
      </c>
      <c r="F34">
        <v>150</v>
      </c>
      <c r="G34" s="1">
        <f>Table1[[#This Row],[Base Pay]]/100</f>
        <v>1780.48</v>
      </c>
      <c r="H34" s="1">
        <f>Table1[[#This Row],[Other Allowance]]/10</f>
        <v>178.048</v>
      </c>
      <c r="I34" s="2">
        <f>SUM(Table1[[#This Row],[Other Allowance]]/20,Table1[[#This Row],[Overtime]]/10)</f>
        <v>104.024</v>
      </c>
      <c r="K34" s="1">
        <f>Table1[[#This Row],[Base Pay]]/2000+Table1[[#This Row],[Overtime]]</f>
        <v>239.024</v>
      </c>
      <c r="L34" s="1" t="s">
        <v>106</v>
      </c>
    </row>
    <row r="35" spans="1:12" x14ac:dyDescent="0.35">
      <c r="A35">
        <v>1034</v>
      </c>
      <c r="B35" t="s">
        <v>73</v>
      </c>
      <c r="C35" s="1">
        <v>177000</v>
      </c>
      <c r="D35" t="s">
        <v>11</v>
      </c>
      <c r="E35" t="s">
        <v>69</v>
      </c>
      <c r="F35">
        <v>150</v>
      </c>
      <c r="G35" s="1">
        <f>Table1[[#This Row],[Base Pay]]/100</f>
        <v>1770</v>
      </c>
      <c r="H35" s="1">
        <f>Table1[[#This Row],[Other Allowance]]/10</f>
        <v>177</v>
      </c>
      <c r="I35" s="2">
        <f>SUM(Table1[[#This Row],[Other Allowance]]/20,Table1[[#This Row],[Overtime]]/10)</f>
        <v>103.5</v>
      </c>
      <c r="J35">
        <v>1200</v>
      </c>
      <c r="K35" s="1">
        <f>Table1[[#This Row],[Base Pay]]/2000+Table1[[#This Row],[Overtime]]</f>
        <v>238.5</v>
      </c>
      <c r="L35" s="1" t="s">
        <v>108</v>
      </c>
    </row>
    <row r="36" spans="1:12" x14ac:dyDescent="0.35">
      <c r="A36">
        <v>1035</v>
      </c>
      <c r="B36" t="s">
        <v>74</v>
      </c>
      <c r="C36" s="1">
        <v>176474</v>
      </c>
      <c r="D36" t="s">
        <v>13</v>
      </c>
      <c r="E36" t="s">
        <v>75</v>
      </c>
      <c r="F36">
        <v>150</v>
      </c>
      <c r="G36" s="1">
        <f>Table1[[#This Row],[Base Pay]]/100</f>
        <v>1764.74</v>
      </c>
      <c r="H36" s="1">
        <f>Table1[[#This Row],[Other Allowance]]/10</f>
        <v>176.47399999999999</v>
      </c>
      <c r="I36" s="2">
        <f>SUM(Table1[[#This Row],[Other Allowance]]/20,Table1[[#This Row],[Overtime]]/10)</f>
        <v>103.23699999999999</v>
      </c>
      <c r="K36" s="1">
        <f>Table1[[#This Row],[Base Pay]]/2000+Table1[[#This Row],[Overtime]]</f>
        <v>238.23699999999999</v>
      </c>
      <c r="L36" s="1" t="s">
        <v>108</v>
      </c>
    </row>
    <row r="37" spans="1:12" x14ac:dyDescent="0.35">
      <c r="A37">
        <v>1036</v>
      </c>
      <c r="B37" t="s">
        <v>76</v>
      </c>
      <c r="C37" s="1">
        <v>176025</v>
      </c>
      <c r="D37" t="s">
        <v>27</v>
      </c>
      <c r="E37" t="s">
        <v>77</v>
      </c>
      <c r="F37">
        <v>100</v>
      </c>
      <c r="G37" s="1">
        <f>Table1[[#This Row],[Base Pay]]/100</f>
        <v>1760.25</v>
      </c>
      <c r="H37" s="1">
        <f>Table1[[#This Row],[Other Allowance]]/10</f>
        <v>176.02500000000001</v>
      </c>
      <c r="I37" s="2">
        <f>SUM(Table1[[#This Row],[Other Allowance]]/20,Table1[[#This Row],[Overtime]]/10)</f>
        <v>98.012500000000003</v>
      </c>
      <c r="K37" s="1">
        <f>Table1[[#This Row],[Base Pay]]/2000+Table1[[#This Row],[Overtime]]</f>
        <v>188.01249999999999</v>
      </c>
      <c r="L37" s="1" t="s">
        <v>107</v>
      </c>
    </row>
    <row r="38" spans="1:12" x14ac:dyDescent="0.35">
      <c r="A38">
        <v>1037</v>
      </c>
      <c r="B38" t="s">
        <v>78</v>
      </c>
      <c r="C38" s="1">
        <v>175004</v>
      </c>
      <c r="D38" t="s">
        <v>6</v>
      </c>
      <c r="E38" t="s">
        <v>79</v>
      </c>
      <c r="F38">
        <v>100</v>
      </c>
      <c r="G38" s="1">
        <f>Table1[[#This Row],[Base Pay]]/100</f>
        <v>1750.04</v>
      </c>
      <c r="H38" s="1">
        <f>Table1[[#This Row],[Other Allowance]]/10</f>
        <v>175.00399999999999</v>
      </c>
      <c r="I38" s="2">
        <f>SUM(Table1[[#This Row],[Other Allowance]]/20,Table1[[#This Row],[Overtime]]/10)</f>
        <v>97.501999999999995</v>
      </c>
      <c r="K38" s="1">
        <f>Table1[[#This Row],[Base Pay]]/2000+Table1[[#This Row],[Overtime]]</f>
        <v>187.50200000000001</v>
      </c>
      <c r="L38" s="1" t="s">
        <v>107</v>
      </c>
    </row>
    <row r="39" spans="1:12" x14ac:dyDescent="0.35">
      <c r="A39">
        <v>1038</v>
      </c>
      <c r="B39" t="s">
        <v>80</v>
      </c>
      <c r="C39" s="1">
        <v>175000</v>
      </c>
      <c r="D39" t="s">
        <v>19</v>
      </c>
      <c r="E39" t="s">
        <v>81</v>
      </c>
      <c r="F39">
        <v>100</v>
      </c>
      <c r="G39" s="1">
        <f>Table1[[#This Row],[Base Pay]]/100</f>
        <v>1750</v>
      </c>
      <c r="H39" s="1">
        <f>Table1[[#This Row],[Other Allowance]]/10</f>
        <v>175</v>
      </c>
      <c r="I39" s="2">
        <f>SUM(Table1[[#This Row],[Other Allowance]]/20,Table1[[#This Row],[Overtime]]/10)</f>
        <v>97.5</v>
      </c>
      <c r="J39">
        <v>1300</v>
      </c>
      <c r="K39" s="1">
        <f>Table1[[#This Row],[Base Pay]]/2000+Table1[[#This Row],[Overtime]]</f>
        <v>187.5</v>
      </c>
      <c r="L39" s="1" t="s">
        <v>107</v>
      </c>
    </row>
    <row r="40" spans="1:12" x14ac:dyDescent="0.35">
      <c r="A40">
        <v>1039</v>
      </c>
      <c r="B40" t="s">
        <v>82</v>
      </c>
      <c r="C40" s="1">
        <v>172500</v>
      </c>
      <c r="D40" t="s">
        <v>6</v>
      </c>
      <c r="E40" t="s">
        <v>83</v>
      </c>
      <c r="F40">
        <v>100</v>
      </c>
      <c r="G40" s="1">
        <f>Table1[[#This Row],[Base Pay]]/100</f>
        <v>1725</v>
      </c>
      <c r="H40" s="1">
        <f>Table1[[#This Row],[Other Allowance]]/10</f>
        <v>172.5</v>
      </c>
      <c r="I40" s="2">
        <f>SUM(Table1[[#This Row],[Other Allowance]]/20,Table1[[#This Row],[Overtime]]/10)</f>
        <v>96.25</v>
      </c>
      <c r="J40">
        <v>1430</v>
      </c>
      <c r="K40" s="1">
        <f>Table1[[#This Row],[Base Pay]]/2000+Table1[[#This Row],[Overtime]]</f>
        <v>186.25</v>
      </c>
      <c r="L40" s="1" t="s">
        <v>107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4"/>
  <sheetViews>
    <sheetView tabSelected="1" topLeftCell="A5" zoomScaleNormal="100" zoomScalePageLayoutView="70" workbookViewId="0">
      <selection activeCell="C7" sqref="C7"/>
    </sheetView>
  </sheetViews>
  <sheetFormatPr defaultColWidth="8.54296875" defaultRowHeight="14.5" x14ac:dyDescent="0.35"/>
  <cols>
    <col min="1" max="1" width="5.6328125" customWidth="1"/>
    <col min="2" max="2" width="15.36328125" customWidth="1"/>
    <col min="3" max="3" width="12.90625" customWidth="1"/>
    <col min="4" max="4" width="16.7265625" customWidth="1"/>
    <col min="5" max="5" width="24" customWidth="1"/>
    <col min="6" max="6" width="5.6328125" customWidth="1"/>
    <col min="13" max="13" width="9.453125" bestFit="1" customWidth="1"/>
  </cols>
  <sheetData>
    <row r="1" spans="1:13" x14ac:dyDescent="0.35">
      <c r="A1" s="5"/>
      <c r="B1" s="6"/>
      <c r="C1" s="6"/>
      <c r="D1" s="6"/>
      <c r="E1" s="6"/>
      <c r="F1" s="17"/>
    </row>
    <row r="2" spans="1:13" ht="31" x14ac:dyDescent="0.7">
      <c r="A2" s="7"/>
      <c r="B2" s="29" t="s">
        <v>89</v>
      </c>
      <c r="C2" s="29"/>
      <c r="D2" s="29"/>
      <c r="E2" s="29"/>
      <c r="F2" s="18"/>
      <c r="G2" s="4"/>
      <c r="H2" s="4"/>
      <c r="I2" s="4"/>
    </row>
    <row r="3" spans="1:13" ht="17" customHeight="1" x14ac:dyDescent="0.35">
      <c r="A3" s="7"/>
      <c r="B3" s="30" t="s">
        <v>90</v>
      </c>
      <c r="C3" s="30"/>
      <c r="D3" s="30"/>
      <c r="E3" s="30"/>
      <c r="F3" s="18"/>
      <c r="G3" s="4"/>
      <c r="H3" s="4"/>
      <c r="I3" s="4"/>
    </row>
    <row r="4" spans="1:13" ht="18.5" customHeight="1" x14ac:dyDescent="0.35">
      <c r="A4" s="7"/>
      <c r="B4" s="8"/>
      <c r="C4" s="8"/>
      <c r="D4" s="8"/>
      <c r="E4" s="8"/>
      <c r="F4" s="18"/>
      <c r="G4" s="4"/>
      <c r="H4" s="4"/>
      <c r="I4" s="4"/>
      <c r="J4" s="24"/>
    </row>
    <row r="5" spans="1:13" ht="21.5" thickBot="1" x14ac:dyDescent="0.55000000000000004">
      <c r="A5" s="7"/>
      <c r="B5" s="31" t="s">
        <v>91</v>
      </c>
      <c r="C5" s="31"/>
      <c r="D5" s="31"/>
      <c r="E5" s="31"/>
      <c r="F5" s="18"/>
      <c r="G5" s="4"/>
      <c r="H5" s="4"/>
      <c r="I5" s="4"/>
    </row>
    <row r="6" spans="1:13" x14ac:dyDescent="0.35">
      <c r="A6" s="7"/>
      <c r="B6" s="8"/>
      <c r="C6" s="8"/>
      <c r="D6" s="8"/>
      <c r="E6" s="8"/>
      <c r="F6" s="18"/>
      <c r="G6" s="4"/>
      <c r="H6" s="4"/>
      <c r="I6" s="4"/>
      <c r="M6" s="3">
        <f ca="1">TODAY()</f>
        <v>45371</v>
      </c>
    </row>
    <row r="7" spans="1:13" ht="15.5" x14ac:dyDescent="0.35">
      <c r="A7" s="7"/>
      <c r="B7" s="35" t="s">
        <v>93</v>
      </c>
      <c r="C7" s="21">
        <v>1039</v>
      </c>
      <c r="D7" s="35" t="s">
        <v>92</v>
      </c>
      <c r="E7" s="21" t="str">
        <f>VLOOKUP(Payslip!C7,Table1[#All],2,FALSE)</f>
        <v>Snavely, Deanne Lynn</v>
      </c>
      <c r="F7" s="18"/>
      <c r="G7" s="4"/>
      <c r="H7" s="4"/>
      <c r="I7" s="4"/>
    </row>
    <row r="8" spans="1:13" ht="18.5" customHeight="1" x14ac:dyDescent="0.35">
      <c r="A8" s="7"/>
      <c r="B8" s="35" t="s">
        <v>94</v>
      </c>
      <c r="C8" s="21" t="str">
        <f>VLOOKUP(Payslip!C7,Table1[#All],4,FALSE)</f>
        <v>Indiana</v>
      </c>
      <c r="D8" s="35" t="s">
        <v>95</v>
      </c>
      <c r="E8" s="21" t="str">
        <f>VLOOKUP(Payslip!C7,Table1[#All],5,FALSE)</f>
        <v>Dean Natural Sciences &amp; Math</v>
      </c>
      <c r="F8" s="18"/>
      <c r="G8" s="4"/>
      <c r="H8" s="4"/>
      <c r="I8" s="4"/>
    </row>
    <row r="9" spans="1:13" x14ac:dyDescent="0.35">
      <c r="A9" s="7"/>
      <c r="B9" s="8"/>
      <c r="C9" s="8"/>
      <c r="D9" s="8"/>
      <c r="E9" s="8"/>
      <c r="F9" s="18"/>
      <c r="G9" s="4"/>
      <c r="H9" s="4"/>
      <c r="I9" s="4"/>
    </row>
    <row r="10" spans="1:13" ht="15.5" x14ac:dyDescent="0.35">
      <c r="A10" s="7"/>
      <c r="B10" s="32" t="s">
        <v>96</v>
      </c>
      <c r="C10" s="32"/>
      <c r="D10" s="32" t="s">
        <v>97</v>
      </c>
      <c r="E10" s="32"/>
      <c r="F10" s="18"/>
      <c r="G10" s="4"/>
      <c r="H10" s="4"/>
      <c r="I10" s="4"/>
    </row>
    <row r="11" spans="1:13" x14ac:dyDescent="0.35">
      <c r="A11" s="7"/>
      <c r="B11" s="10" t="s">
        <v>98</v>
      </c>
      <c r="C11" s="22">
        <f>VLOOKUP(Payslip!C7,Table1[#All],3,FALSE)</f>
        <v>172500</v>
      </c>
      <c r="D11" s="10" t="s">
        <v>85</v>
      </c>
      <c r="E11" s="22">
        <f>VLOOKUP(Payslip!C7,Table1[#All],8,FALSE)</f>
        <v>172.5</v>
      </c>
      <c r="F11" s="18"/>
      <c r="G11" s="4"/>
      <c r="H11" s="4"/>
      <c r="I11" s="4"/>
    </row>
    <row r="12" spans="1:13" x14ac:dyDescent="0.35">
      <c r="A12" s="11"/>
      <c r="B12" s="10" t="s">
        <v>84</v>
      </c>
      <c r="C12" s="22">
        <f>VLOOKUP(Payslip!C7,Table1[#All],6,FALSE)</f>
        <v>100</v>
      </c>
      <c r="D12" s="10" t="s">
        <v>86</v>
      </c>
      <c r="E12" s="22">
        <f>VLOOKUP(Payslip!C7,Table1[#All],9,FALSE)</f>
        <v>96.25</v>
      </c>
      <c r="F12" s="19"/>
    </row>
    <row r="13" spans="1:13" x14ac:dyDescent="0.35">
      <c r="A13" s="11"/>
      <c r="B13" s="10" t="s">
        <v>88</v>
      </c>
      <c r="C13" s="22">
        <f>VLOOKUP(Payslip!C7,Table1[#All],7,FALSE)</f>
        <v>1725</v>
      </c>
      <c r="D13" s="10" t="str">
        <f>IF(E13="","","Housing")</f>
        <v>Housing</v>
      </c>
      <c r="E13" s="22">
        <f>IF(VLOOKUP(Payslip!C7,Table1[#All],10,FALSE)&lt;1,"",VLOOKUP(Payslip!C7,Table1[#All],10,FALSE))</f>
        <v>1430</v>
      </c>
      <c r="F13" s="19"/>
    </row>
    <row r="14" spans="1:13" x14ac:dyDescent="0.35">
      <c r="A14" s="11"/>
      <c r="B14" s="10" t="s">
        <v>99</v>
      </c>
      <c r="C14" s="22">
        <f>VLOOKUP(Payslip!C7,Table1[#All],11,FALSE)</f>
        <v>186.25</v>
      </c>
      <c r="D14" s="10"/>
      <c r="E14" s="22"/>
      <c r="F14" s="19"/>
    </row>
    <row r="15" spans="1:13" x14ac:dyDescent="0.35">
      <c r="A15" s="11"/>
      <c r="B15" s="12" t="s">
        <v>101</v>
      </c>
      <c r="C15" s="23">
        <f>SUM(C11:C14)</f>
        <v>174511.25</v>
      </c>
      <c r="D15" s="12" t="s">
        <v>102</v>
      </c>
      <c r="E15" s="23">
        <f>SUM(E11:E14)</f>
        <v>1698.75</v>
      </c>
      <c r="F15" s="19"/>
    </row>
    <row r="16" spans="1:13" x14ac:dyDescent="0.35">
      <c r="A16" s="11"/>
      <c r="B16" s="10"/>
      <c r="C16" s="10"/>
      <c r="D16" s="10"/>
      <c r="E16" s="10"/>
      <c r="F16" s="19"/>
    </row>
    <row r="17" spans="1:6" ht="18.5" x14ac:dyDescent="0.35">
      <c r="A17" s="11"/>
      <c r="B17" s="12" t="s">
        <v>100</v>
      </c>
      <c r="C17" s="25">
        <f>C15-E15</f>
        <v>172812.5</v>
      </c>
      <c r="D17" s="26"/>
      <c r="E17" s="27"/>
      <c r="F17" s="19"/>
    </row>
    <row r="18" spans="1:6" ht="14.5" customHeight="1" x14ac:dyDescent="0.35">
      <c r="A18" s="11"/>
      <c r="B18" s="33" t="s">
        <v>103</v>
      </c>
      <c r="C18" s="34" t="str" cm="1">
        <f t="array" ref="C18">SpellNumber(C17)</f>
        <v>One Hundred Seventy Two Thousand Eight Hundred Twelve Dollars and Fifty  Cents</v>
      </c>
      <c r="D18" s="34"/>
      <c r="E18" s="34"/>
      <c r="F18" s="19"/>
    </row>
    <row r="19" spans="1:6" x14ac:dyDescent="0.35">
      <c r="A19" s="11"/>
      <c r="B19" s="9"/>
      <c r="C19" s="34"/>
      <c r="D19" s="34"/>
      <c r="E19" s="34"/>
      <c r="F19" s="19"/>
    </row>
    <row r="20" spans="1:6" x14ac:dyDescent="0.35">
      <c r="A20" s="11"/>
      <c r="B20" s="13" t="s">
        <v>104</v>
      </c>
      <c r="C20" s="14" t="str">
        <f>VLOOKUP(C7,Table1[],12,FALSE)</f>
        <v>Cheque</v>
      </c>
      <c r="D20" s="14"/>
      <c r="E20" s="14"/>
      <c r="F20" s="19"/>
    </row>
    <row r="21" spans="1:6" x14ac:dyDescent="0.35">
      <c r="A21" s="11"/>
      <c r="B21" s="9"/>
      <c r="C21" s="9"/>
      <c r="D21" s="9"/>
      <c r="E21" s="9"/>
      <c r="F21" s="19"/>
    </row>
    <row r="22" spans="1:6" x14ac:dyDescent="0.35">
      <c r="A22" s="11"/>
      <c r="B22" s="28" t="s">
        <v>109</v>
      </c>
      <c r="C22" s="28"/>
      <c r="D22" s="28"/>
      <c r="E22" s="28"/>
      <c r="F22" s="19"/>
    </row>
    <row r="23" spans="1:6" x14ac:dyDescent="0.35">
      <c r="A23" s="11"/>
      <c r="B23" s="9"/>
      <c r="C23" s="9"/>
      <c r="D23" s="9"/>
      <c r="E23" s="9"/>
      <c r="F23" s="19"/>
    </row>
    <row r="24" spans="1:6" ht="15" thickBot="1" x14ac:dyDescent="0.4">
      <c r="A24" s="15"/>
      <c r="B24" s="16"/>
      <c r="C24" s="16"/>
      <c r="D24" s="16"/>
      <c r="E24" s="16"/>
      <c r="F24" s="20"/>
    </row>
  </sheetData>
  <mergeCells count="8">
    <mergeCell ref="C17:E17"/>
    <mergeCell ref="B22:E22"/>
    <mergeCell ref="B2:E2"/>
    <mergeCell ref="B3:E3"/>
    <mergeCell ref="B5:E5"/>
    <mergeCell ref="B10:C10"/>
    <mergeCell ref="D10:E10"/>
    <mergeCell ref="C18:E1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C73000-72E7-43B9-8DE4-FCF65F1583AB}">
          <x14:formula1>
            <xm:f>'Payroll Data'!$A$2:$A$40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Data</vt:lpstr>
      <vt:lpstr>Payslip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Chigozie Emeafu</dc:creator>
  <cp:keywords>emeafu_c@hotmail.com</cp:keywords>
  <cp:lastModifiedBy>CHIGOZIE EMEAFU</cp:lastModifiedBy>
  <cp:lastPrinted>2024-03-20T18:36:00Z</cp:lastPrinted>
  <dcterms:created xsi:type="dcterms:W3CDTF">2024-02-21T15:04:11Z</dcterms:created>
  <dcterms:modified xsi:type="dcterms:W3CDTF">2024-03-20T18:47:15Z</dcterms:modified>
</cp:coreProperties>
</file>